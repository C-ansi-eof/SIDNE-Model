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5B65929C-4116-4420-8743-EFE0E3CAE065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O4" i="1"/>
  <c r="I4" i="1"/>
  <c r="H4" i="1"/>
  <c r="F4" i="1"/>
  <c r="D4" i="1"/>
  <c r="B11" i="1"/>
  <c r="B12" i="1" s="1"/>
  <c r="B10" i="1"/>
  <c r="F3" i="1"/>
  <c r="O3" i="1"/>
  <c r="D3" i="1"/>
  <c r="B3" i="1"/>
  <c r="I3" i="1"/>
  <c r="H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tc={42662CDF-E58B-41A1-967D-2757D77EE38B}</author>
    <author>tc={F6CE5B75-89F3-432B-976B-DB49CAC31FF2}</author>
    <author>tc={F7C3AE83-BDB4-40E8-A76C-02388BB72AF7}</author>
    <author>tc={9367BEFF-7783-46A2-BBF2-E46A32000F62}</author>
    <author>tc={EBFC147C-ED72-4808-88C7-56FA8DDA3134}</author>
  </authors>
  <commentList>
    <comment ref="A3" authorId="0" shapeId="0" xr:uid="{42662CDF-E58B-41A1-967D-2757D77EE38B}">
      <text>
        <t>[Threaded comment]
Your version of Excel allows you to read this threaded comment; however, any edits to it will get removed if the file is opened in a newer version of Excel. Learn more: https://go.microsoft.com/fwlink/?linkid=870924
Comment:
    NREL</t>
      </text>
    </comment>
    <comment ref="B3" authorId="1" shapeId="0" xr:uid="{F6CE5B75-89F3-432B-976B-DB49CAC31FF2}">
      <text>
        <t>[Threaded comment]
Your version of Excel allows you to read this threaded comment; however, any edits to it will get removed if the file is opened in a newer version of Excel. Learn more: https://go.microsoft.com/fwlink/?linkid=870924
Comment:
    Do not include capital costs for CO2, transportation and storage</t>
      </text>
    </comment>
    <comment ref="E3" authorId="2" shapeId="0" xr:uid="{F7C3AE83-BDB4-40E8-A76C-02388BB72AF7}">
      <text>
        <t>[Threaded comment]
Your version of Excel allows you to read this threaded comment; however, any edits to it will get removed if the file is opened in a newer version of Excel. Learn more: https://go.microsoft.com/fwlink/?linkid=870924
Comment:
    Obtained form Danish Energy Agency data</t>
      </text>
    </comment>
    <comment ref="A4" authorId="3" shapeId="0" xr:uid="{9367BEFF-7783-46A2-BBF2-E46A32000F62}">
      <text>
        <t>[Threaded comment]
Your version of Excel allows you to read this threaded comment; however, any edits to it will get removed if the file is opened in a newer version of Excel. Learn more: https://go.microsoft.com/fwlink/?linkid=870924
Comment:
    NREL</t>
      </text>
    </comment>
    <comment ref="B12" authorId="4" shapeId="0" xr:uid="{EBFC147C-ED72-4808-88C7-56FA8DDA3134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Danish Energy Agency Data: Gas turbine, combined cycle - back pressure - natural gas - medium</t>
      </text>
    </comment>
  </commentList>
</comments>
</file>

<file path=xl/sharedStrings.xml><?xml version="1.0" encoding="utf-8"?>
<sst xmlns="http://schemas.openxmlformats.org/spreadsheetml/2006/main" count="22" uniqueCount="22">
  <si>
    <t>technology</t>
  </si>
  <si>
    <t>investment</t>
  </si>
  <si>
    <t>FOM</t>
  </si>
  <si>
    <t>VOM</t>
  </si>
  <si>
    <t>lifetime</t>
  </si>
  <si>
    <t>efficiency</t>
  </si>
  <si>
    <t>construction_time</t>
  </si>
  <si>
    <t>fuel</t>
  </si>
  <si>
    <t>carbon_intensity</t>
  </si>
  <si>
    <t>capacity</t>
  </si>
  <si>
    <t>load_factor</t>
  </si>
  <si>
    <t>rate</t>
  </si>
  <si>
    <t>tax</t>
  </si>
  <si>
    <t>carbon_cost</t>
  </si>
  <si>
    <t>SMR_CHP</t>
  </si>
  <si>
    <t>Gas_CHP</t>
  </si>
  <si>
    <t>Grid_connect_cost</t>
  </si>
  <si>
    <t>MEUR/Mwe</t>
  </si>
  <si>
    <t>Eur/kWe</t>
  </si>
  <si>
    <t>Average exchange rate in 2015 EUR-USD: 1.11 USD.</t>
  </si>
  <si>
    <t>USD/kWe</t>
  </si>
  <si>
    <t>Gas_CHP2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</si>
</sst>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charset val="1"/>
    </font>
    <font>
      <sz val="8"/>
      <color rgb="FF000000"/>
      <name val="Calibri"/>
    </font>
    <font>
      <sz val="8"/>
      <color rgb="FF000000"/>
      <name val="Calibri"/>
      <family val="2"/>
    </font>
    <font>
      <sz val="10"/>
      <color rgb="FF333333"/>
      <name val="Arial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8">
    <xf numFmtId="0" fontId="0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7" fillId="0" borderId="0"/>
    <xf numFmtId="9" fontId="7" fillId="0" borderId="0" applyFont="0" applyFill="0" applyBorder="0" applyAlignment="0" applyProtection="0"/>
    <xf numFmtId="0" fontId="2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 wrapText="1"/>
    </xf>
    <xf numFmtId="2" fontId="4" fillId="2" borderId="1" xfId="0" applyNumberFormat="1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wrapText="1"/>
    </xf>
    <xf numFmtId="0" fontId="4" fillId="0" borderId="3" xfId="0" applyFont="1" applyBorder="1" applyAlignment="1">
      <alignment horizontal="right" wrapText="1"/>
    </xf>
    <xf numFmtId="0" fontId="0" fillId="3" borderId="0" xfId="0" applyFill="1"/>
    <xf numFmtId="0" fontId="7" fillId="0" borderId="0" xfId="5" applyAlignment="1">
      <alignment horizontal="center"/>
    </xf>
    <xf numFmtId="0" fontId="7" fillId="0" borderId="0" xfId="5" applyAlignment="1">
      <alignment horizontal="center"/>
    </xf>
  </cellXfs>
  <cellStyles count="8">
    <cellStyle name="Normal" xfId="0" builtinId="0"/>
    <cellStyle name="Normal 2" xfId="2" xr:uid="{05CE85B9-A5ED-4A64-8CE3-47D02B0E644F}"/>
    <cellStyle name="Normal 3" xfId="3" xr:uid="{BC66E569-D0F4-4C34-86EF-8029D2EE9B03}"/>
    <cellStyle name="Normal 4" xfId="4" xr:uid="{75E27299-F84E-4D11-B0C2-4A7B29365D1F}"/>
    <cellStyle name="Normal 5" xfId="5" xr:uid="{6D9581D8-4357-4558-BB37-3FB67F13B3A6}"/>
    <cellStyle name="Normal 6" xfId="7" xr:uid="{55FDDB68-E846-48CF-9A63-704B9E687CE4}"/>
    <cellStyle name="Normal 7" xfId="1" xr:uid="{F16F861A-3B9C-4CC1-AE4E-4E1270E06217}"/>
    <cellStyle name="Percent 2" xfId="6" xr:uid="{6F2927DD-BE30-4D05-964F-F27C535E6DB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A30607FB-3F71-47B6-9249-7B2C09B8F7B4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5-04-30T16:35:45.87" personId="{A30607FB-3F71-47B6-9249-7B2C09B8F7B4}" id="{42662CDF-E58B-41A1-967D-2757D77EE38B}">
    <text>NREL</text>
  </threadedComment>
  <threadedComment ref="B3" dT="2025-04-30T16:12:17.00" personId="{A30607FB-3F71-47B6-9249-7B2C09B8F7B4}" id="{F6CE5B75-89F3-432B-976B-DB49CAC31FF2}">
    <text>Do not include capital costs for CO2, transportation and storage</text>
  </threadedComment>
  <threadedComment ref="E3" dT="2025-04-30T16:20:06.67" personId="{A30607FB-3F71-47B6-9249-7B2C09B8F7B4}" id="{F7C3AE83-BDB4-40E8-A76C-02388BB72AF7}">
    <text>Obtained form Danish Energy Agency data</text>
  </threadedComment>
  <threadedComment ref="A4" dT="2025-04-30T16:35:45.87" personId="{A30607FB-3F71-47B6-9249-7B2C09B8F7B4}" id="{9367BEFF-7783-46A2-BBF2-E46A32000F62}">
    <text>NREL</text>
  </threadedComment>
  <threadedComment ref="B12" dT="2025-04-30T16:32:25.27" personId="{A30607FB-3F71-47B6-9249-7B2C09B8F7B4}" id="{EBFC147C-ED72-4808-88C7-56FA8DDA3134}">
    <text>From Danish Energy Agency Data: Gas turbine, combined cycle - back pressure - natural gas - medium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workbookViewId="0">
      <selection activeCell="C11" sqref="C11"/>
    </sheetView>
  </sheetViews>
  <sheetFormatPr defaultRowHeight="14.5" x14ac:dyDescent="0.35"/>
  <cols>
    <col min="1" max="1" width="13.1796875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9.08984375" bestFit="1" customWidth="1"/>
    <col min="8" max="8" width="5.36328125" bestFit="1" customWidth="1"/>
    <col min="9" max="9" width="17.6328125" bestFit="1" customWidth="1"/>
    <col min="10" max="10" width="9.08984375" bestFit="1" customWidth="1"/>
    <col min="11" max="11" width="12.26953125" bestFit="1" customWidth="1"/>
    <col min="12" max="12" width="5" bestFit="1" customWidth="1"/>
    <col min="13" max="13" width="4.36328125" bestFit="1" customWidth="1"/>
    <col min="14" max="14" width="13.08984375" bestFit="1" customWidth="1"/>
    <col min="15" max="15" width="20.453125" customWidth="1"/>
  </cols>
  <sheetData>
    <row r="1" spans="1:15" ht="17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16</v>
      </c>
    </row>
    <row r="2" spans="1:15" ht="17.5" thickBot="1" x14ac:dyDescent="0.4">
      <c r="A2" s="2" t="s">
        <v>14</v>
      </c>
      <c r="B2" s="3">
        <v>9500</v>
      </c>
      <c r="C2" s="4">
        <v>216</v>
      </c>
      <c r="D2" s="4">
        <v>2.8</v>
      </c>
      <c r="E2" s="4">
        <v>60</v>
      </c>
      <c r="F2" s="4">
        <v>0</v>
      </c>
      <c r="G2" s="4">
        <v>7</v>
      </c>
      <c r="H2" s="4">
        <f>12</f>
        <v>12</v>
      </c>
      <c r="I2" s="4">
        <v>0</v>
      </c>
      <c r="J2" s="4">
        <v>300</v>
      </c>
      <c r="K2" s="4">
        <v>0.93</v>
      </c>
      <c r="L2" s="4">
        <v>0.08</v>
      </c>
      <c r="M2" s="4">
        <v>0</v>
      </c>
      <c r="N2" s="4">
        <v>0</v>
      </c>
    </row>
    <row r="3" spans="1:15" ht="17.5" thickBot="1" x14ac:dyDescent="0.4">
      <c r="A3" s="2" t="s">
        <v>15</v>
      </c>
      <c r="B3" s="5">
        <f>1354</f>
        <v>1354</v>
      </c>
      <c r="C3" s="5">
        <v>37</v>
      </c>
      <c r="D3" s="6">
        <f>2.37</f>
        <v>2.37</v>
      </c>
      <c r="E3" s="5">
        <v>25</v>
      </c>
      <c r="F3" s="5">
        <f>1/6</f>
        <v>0.16666666666666666</v>
      </c>
      <c r="G3" s="5">
        <v>3</v>
      </c>
      <c r="H3" s="5">
        <f>50</f>
        <v>50</v>
      </c>
      <c r="I3" s="5">
        <f>450</f>
        <v>450</v>
      </c>
      <c r="J3" s="5">
        <v>649</v>
      </c>
      <c r="K3" s="5">
        <v>0.85</v>
      </c>
      <c r="L3" s="5">
        <v>0.05</v>
      </c>
      <c r="M3" s="5">
        <v>0</v>
      </c>
      <c r="N3" s="5">
        <v>0</v>
      </c>
      <c r="O3">
        <f>100</f>
        <v>100</v>
      </c>
    </row>
    <row r="4" spans="1:15" ht="17.5" thickBot="1" x14ac:dyDescent="0.4">
      <c r="A4" s="2" t="s">
        <v>21</v>
      </c>
      <c r="B4" s="5">
        <f>B12</f>
        <v>1062.3093452820001</v>
      </c>
      <c r="C4" s="5">
        <v>37</v>
      </c>
      <c r="D4" s="6">
        <f>2.37</f>
        <v>2.37</v>
      </c>
      <c r="E4" s="5">
        <v>25</v>
      </c>
      <c r="F4" s="5">
        <f>1/6</f>
        <v>0.16666666666666666</v>
      </c>
      <c r="G4" s="5">
        <v>3</v>
      </c>
      <c r="H4" s="5">
        <f>50</f>
        <v>50</v>
      </c>
      <c r="I4" s="5">
        <f>450</f>
        <v>450</v>
      </c>
      <c r="J4" s="5">
        <v>100</v>
      </c>
      <c r="K4" s="5">
        <v>0.85</v>
      </c>
      <c r="L4" s="5">
        <v>0.05</v>
      </c>
      <c r="M4" s="5">
        <v>0</v>
      </c>
      <c r="N4" s="5">
        <v>0</v>
      </c>
      <c r="O4">
        <f>100</f>
        <v>100</v>
      </c>
    </row>
    <row r="8" spans="1:15" x14ac:dyDescent="0.35">
      <c r="B8" s="10">
        <v>0.74436090259999999</v>
      </c>
    </row>
    <row r="9" spans="1:15" x14ac:dyDescent="0.35">
      <c r="B9" s="10">
        <v>0.21267454360000004</v>
      </c>
      <c r="C9" s="11">
        <v>4.7851772310000005</v>
      </c>
    </row>
    <row r="10" spans="1:15" x14ac:dyDescent="0.35">
      <c r="A10" t="s">
        <v>17</v>
      </c>
      <c r="B10">
        <f>B8+B9</f>
        <v>0.95703544620000003</v>
      </c>
    </row>
    <row r="11" spans="1:15" x14ac:dyDescent="0.35">
      <c r="A11" t="s">
        <v>18</v>
      </c>
      <c r="B11">
        <f>B10*10^3</f>
        <v>957.03544620000002</v>
      </c>
    </row>
    <row r="12" spans="1:15" x14ac:dyDescent="0.35">
      <c r="A12" s="9" t="s">
        <v>20</v>
      </c>
      <c r="B12" s="9">
        <f>B11*B14</f>
        <v>1062.3093452820001</v>
      </c>
    </row>
    <row r="13" spans="1:15" ht="15" thickBot="1" x14ac:dyDescent="0.4"/>
    <row r="14" spans="1:15" ht="64" thickBot="1" x14ac:dyDescent="0.4">
      <c r="A14" s="7" t="s">
        <v>19</v>
      </c>
      <c r="B14" s="8">
        <v>1.1100000000000001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Olmos Alonso</dc:creator>
  <cp:lastModifiedBy>CARLOS OLMOS ALONSO</cp:lastModifiedBy>
  <dcterms:created xsi:type="dcterms:W3CDTF">2015-06-05T18:17:20Z</dcterms:created>
  <dcterms:modified xsi:type="dcterms:W3CDTF">2025-04-30T16:42:17Z</dcterms:modified>
</cp:coreProperties>
</file>