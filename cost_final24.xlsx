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5F684852-F137-43DC-8E28-90EA7875075E}" xr6:coauthVersionLast="47" xr6:coauthVersionMax="47" xr10:uidLastSave="{00000000-0000-0000-0000-000000000000}"/>
  <bookViews>
    <workbookView xWindow="-110" yWindow="-110" windowWidth="19420" windowHeight="1102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K4" i="1"/>
  <c r="L4" i="1" l="1"/>
  <c r="I4" i="1" l="1"/>
  <c r="L2" i="1" l="1"/>
  <c r="L3" i="1"/>
  <c r="J4" i="1"/>
  <c r="B4" i="1"/>
  <c r="J3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tc={AA0DC341-BA22-4348-A936-EE63FE69F7AC}</author>
    <author>tc={26DF2D7D-BF63-41C1-9482-7EAA57DA55BE}</author>
    <author>tc={EE4B947D-6F9F-4F19-B505-48EFDEDE0B04}</author>
    <author>tc={BE7568EE-7B2D-4E95-BD63-155DA3607F75}</author>
    <author>tc={04FA7CEE-1B26-40AA-A602-06EB6E5DDC3F}</author>
    <author>tc={E7CAF854-C30D-4E56-8EAC-6E2FD928681F}</author>
    <author>tc={ED393121-FA30-41D4-A2D4-B6CBE6D9672B}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F3" authorId="11" shapeId="0" xr:uid="{AA0DC341-BA22-4348-A936-EE63FE69F7AC}">
      <text>
        <t>[Threaded comment]
Your version of Excel allows you to read this threaded comment; however, any edits to it will get removed if the file is opened in a newer version of Excel. Learn more: https://go.microsoft.com/fwlink/?linkid=870924
Comment:
    FUE (fuel utilization Energy)</t>
      </text>
    </comment>
    <comment ref="I3" authorId="12" shapeId="0" xr:uid="{26DF2D7D-BF63-41C1-9482-7EAA57DA55B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NERL no especifica: dice it varies??</t>
      </text>
    </comment>
    <comment ref="A4" authorId="13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4" authorId="14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4" authorId="15" shapeId="0" xr:uid="{04FA7CEE-1B26-40AA-A602-06EB6E5DDC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
Reply:
    calculo del ciclo termodinámico con temperatura útil de 400ºC 
</t>
      </text>
    </comment>
    <comment ref="I4" authorId="16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  <comment ref="Q4" authorId="17" shapeId="0" xr:uid="{ED393121-FA30-41D4-A2D4-B6CBE6D9672B}">
      <text>
        <t>[Threaded comment]
Your version of Excel allows you to read this threaded comment; however, any edits to it will get removed if the file is opened in a newer version of Excel. Learn more: https://go.microsoft.com/fwlink/?linkid=870924
Comment:
    Se añade en cada código para poder aplicar el método implícito</t>
      </text>
    </comment>
  </commentList>
</comments>
</file>

<file path=xl/sharedStrings.xml><?xml version="1.0" encoding="utf-8"?>
<sst xmlns="http://schemas.openxmlformats.org/spreadsheetml/2006/main" count="20" uniqueCount="20">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</sst>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E0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2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F3" dT="2025-06-14T15:28:23.37" personId="{C4A57D0B-4E4B-4986-94C7-8988CF687508}" id="{AA0DC341-BA22-4348-A936-EE63FE69F7AC}">
    <text>FUE (fuel utilization Energy)</text>
  </threadedComment>
  <threadedComment ref="I3" dT="2025-06-13T18:19:25.77" personId="{C4A57D0B-4E4B-4986-94C7-8988CF687508}" id="{26DF2D7D-BF63-41C1-9482-7EAA57DA55BE}">
    <text>En NERL no especifica: dice it varies??</text>
  </threadedComment>
  <threadedComment ref="A4" dT="2025-05-15T16:10:48.49" personId="{C4A57D0B-4E4B-4986-94C7-8988CF687508}" id="{EE4B947D-6F9F-4F19-B505-48EFDEDE0B04}">
    <text>PyPSA 04 Gas turbine, simple cycle-back pressure L (in 2015 USD currency)</text>
  </threadedComment>
  <threadedComment ref="F4" dT="2025-05-17T09:37:28.80" personId="{C4A57D0B-4E4B-4986-94C7-8988CF687508}" id="{BE7568EE-7B2D-4E95-BD63-155DA3607F75}">
    <text>TFG calculations (PyPSA, DEA, EPA)</text>
  </threadedComment>
  <threadedComment ref="H4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H4" dT="2025-06-13T18:07:59.00" personId="{C4A57D0B-4E4B-4986-94C7-8988CF687508}" id="{B1947E41-DC3B-4F33-BA0E-A243393866D2}" parentId="{04FA7CEE-1B26-40AA-A602-06EB6E5DDC3F}">
    <text xml:space="preserve">calculo del ciclo termodinámico con temperatura útil de 400ºC 
</text>
  </threadedComment>
  <threadedComment ref="I4" dT="2025-05-15T16:14:58.23" personId="{C4A57D0B-4E4B-4986-94C7-8988CF687508}" id="{E7CAF854-C30D-4E56-8EAC-6E2FD928681F}">
    <text>From NREL NG combustion Turbine</text>
  </threadedComment>
  <threadedComment ref="Q4" dT="2025-06-18T19:45:29.33" personId="{C4A57D0B-4E4B-4986-94C7-8988CF687508}" id="{ED393121-FA30-41D4-A2D4-B6CBE6D9672B}">
    <text>Se añade en cada código para poder aplicar el método implícito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"/>
  <sheetViews>
    <sheetView tabSelected="1" zoomScale="85" zoomScaleNormal="85" workbookViewId="0">
      <selection activeCell="G8" sqref="G8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816406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453125" bestFit="1" customWidth="1"/>
    <col min="8" max="8" width="12.08984375" customWidth="1"/>
    <col min="9" max="9" width="19.08984375" bestFit="1" customWidth="1"/>
    <col min="10" max="10" width="5.72656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72656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14</v>
      </c>
      <c r="B1" s="2" t="s">
        <v>8</v>
      </c>
      <c r="C1" s="2" t="s">
        <v>9</v>
      </c>
      <c r="D1" s="2" t="s">
        <v>1</v>
      </c>
      <c r="E1" s="2" t="s">
        <v>10</v>
      </c>
      <c r="F1" s="2" t="s">
        <v>2</v>
      </c>
      <c r="G1" s="2" t="s">
        <v>19</v>
      </c>
      <c r="H1" s="2" t="s">
        <v>18</v>
      </c>
      <c r="I1" s="2" t="s">
        <v>7</v>
      </c>
      <c r="J1" s="2" t="s">
        <v>3</v>
      </c>
      <c r="K1" s="2" t="s">
        <v>4</v>
      </c>
      <c r="L1" s="2" t="s">
        <v>17</v>
      </c>
      <c r="M1" s="2" t="s">
        <v>6</v>
      </c>
      <c r="N1" s="2" t="s">
        <v>11</v>
      </c>
      <c r="O1" s="2" t="s">
        <v>5</v>
      </c>
      <c r="P1" s="2" t="s">
        <v>12</v>
      </c>
      <c r="Q1" s="2" t="s">
        <v>13</v>
      </c>
    </row>
    <row r="2" spans="1:17" ht="17" x14ac:dyDescent="0.35">
      <c r="A2" s="2" t="s">
        <v>0</v>
      </c>
      <c r="B2" s="4">
        <v>750</v>
      </c>
      <c r="C2" s="4">
        <v>20.167538959821201</v>
      </c>
      <c r="D2" s="4">
        <v>1.827</v>
      </c>
      <c r="E2" s="4">
        <v>30</v>
      </c>
      <c r="F2" s="4">
        <v>0.59</v>
      </c>
      <c r="G2" s="4"/>
      <c r="H2" s="4"/>
      <c r="I2" s="4">
        <v>2</v>
      </c>
      <c r="J2" s="4">
        <f>50</f>
        <v>50</v>
      </c>
      <c r="K2" s="4">
        <v>450</v>
      </c>
      <c r="L2" s="4">
        <f>0</f>
        <v>0</v>
      </c>
      <c r="M2" s="4">
        <v>500</v>
      </c>
      <c r="N2" s="4">
        <v>0.85</v>
      </c>
      <c r="O2" s="4">
        <v>0.05</v>
      </c>
      <c r="P2" s="4">
        <v>0</v>
      </c>
      <c r="Q2" s="4">
        <v>0</v>
      </c>
    </row>
    <row r="3" spans="1:17" ht="17.5" thickBot="1" x14ac:dyDescent="0.4">
      <c r="A3" s="2" t="s">
        <v>15</v>
      </c>
      <c r="B3" s="3">
        <v>9500</v>
      </c>
      <c r="C3" s="4">
        <v>216</v>
      </c>
      <c r="D3" s="4">
        <v>2.8</v>
      </c>
      <c r="E3" s="4">
        <v>60</v>
      </c>
      <c r="F3" s="4">
        <f>0.5068</f>
        <v>0.50680000000000003</v>
      </c>
      <c r="G3" s="4">
        <v>0.27879999999999999</v>
      </c>
      <c r="H3" s="4">
        <v>0.21</v>
      </c>
      <c r="I3" s="9">
        <v>7</v>
      </c>
      <c r="J3" s="4">
        <f>12</f>
        <v>12</v>
      </c>
      <c r="K3" s="4">
        <v>0</v>
      </c>
      <c r="L3" s="4">
        <f>0</f>
        <v>0</v>
      </c>
      <c r="M3" s="4">
        <v>100</v>
      </c>
      <c r="N3" s="4">
        <v>0.93</v>
      </c>
      <c r="O3" s="4">
        <v>0.08</v>
      </c>
      <c r="P3" s="4">
        <v>0</v>
      </c>
      <c r="Q3" s="4">
        <v>0</v>
      </c>
    </row>
    <row r="4" spans="1:17" ht="17.5" thickBot="1" x14ac:dyDescent="0.4">
      <c r="A4" s="2" t="s">
        <v>16</v>
      </c>
      <c r="B4" s="5">
        <f>583.13</f>
        <v>583.13</v>
      </c>
      <c r="C4" s="5">
        <v>20.63</v>
      </c>
      <c r="D4" s="6">
        <v>5.5</v>
      </c>
      <c r="E4" s="5">
        <v>25</v>
      </c>
      <c r="F4" s="10">
        <v>0.47610000000000002</v>
      </c>
      <c r="G4" s="5">
        <v>0.30769999999999997</v>
      </c>
      <c r="H4" s="8">
        <v>0.21</v>
      </c>
      <c r="I4" s="5">
        <f>3</f>
        <v>3</v>
      </c>
      <c r="J4" s="5">
        <f>50</f>
        <v>50</v>
      </c>
      <c r="K4" s="5">
        <f>0.198</f>
        <v>0.19800000000000001</v>
      </c>
      <c r="L4" s="7">
        <f>K4/(F4)</f>
        <v>0.41587901701323249</v>
      </c>
      <c r="M4" s="5">
        <v>100</v>
      </c>
      <c r="N4" s="5">
        <v>0.85</v>
      </c>
      <c r="O4" s="4">
        <v>0.08</v>
      </c>
      <c r="P4" s="5">
        <v>0</v>
      </c>
      <c r="Q4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2025-07-10T14:53:52Z</dcterms:modified>
</cp:coreProperties>
</file>