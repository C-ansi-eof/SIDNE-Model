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carlo\1_UPM_Z\PYsimul\SMR_model1\"/>
    </mc:Choice>
  </mc:AlternateContent>
  <xr:revisionPtr revIDLastSave="0" documentId="13_ncr:1_{F7C47F6B-43C1-4998-BE31-BB4DB4E2BC52}" xr6:coauthVersionLast="47" xr6:coauthVersionMax="47" xr10:uidLastSave="{00000000-0000-0000-0000-000000000000}"/>
  <bookViews>
    <workbookView xWindow="-110" yWindow="-110" windowWidth="19420" windowHeight="10300" tabRatio="589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K6" i="1"/>
  <c r="I6" i="1"/>
  <c r="L3" i="1" l="1"/>
  <c r="L4" i="1"/>
  <c r="L5" i="1"/>
  <c r="L2" i="1"/>
  <c r="J6" i="1"/>
  <c r="B6" i="1"/>
  <c r="J5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tc={1DB93E16-5C30-4FDF-9F73-7207FAFB8D18}</author>
    <author>tc={FCDF6289-C652-4F2A-BE00-A98F71E98A8D}</author>
    <author>tc={2C80B9E4-7A4C-4355-A557-A800B1A388E2}</author>
    <author>tc={D0289C43-A833-42EB-B6DD-035525C890A0}</author>
    <author>tc={5868225E-6AB4-4960-B0FA-4BF43D4E082F}</author>
    <author>tc={056CFB67-E460-445A-AFEB-6CDC8430CD30}</author>
    <author>tc={71DADE9C-2171-452B-BABC-21FC760CB8F9}</author>
    <author>tc={A207D967-D633-419B-99F5-A6CB5395A0E2}</author>
    <author>tc={24007486-C9D2-4803-9915-B5465F6BE615}</author>
    <author>tc={584A61F6-491E-403C-902B-F3836B986624}</author>
    <author>tc={446071B6-973B-49CC-AB09-55799D74CE52}</author>
    <author>tc={EE4B947D-6F9F-4F19-B505-48EFDEDE0B04}</author>
    <author>tc={BE7568EE-7B2D-4E95-BD63-155DA3607F75}</author>
    <author>tc={04FA7CEE-1B26-40AA-A602-06EB6E5DDC3F}</author>
    <author>tc={E7CAF854-C30D-4E56-8EAC-6E2FD928681F}</author>
  </authors>
  <commentList>
    <comment ref="B1" authorId="0" shapeId="0" xr:uid="{1DB93E16-5C30-4FDF-9F73-7207FAFB8D18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USD/KWe</t>
      </text>
    </comment>
    <comment ref="C1" authorId="1" shapeId="0" xr:uid="{FCDF6289-C652-4F2A-BE00-A98F71E98A8D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USD/kWe-yr</t>
      </text>
    </comment>
    <comment ref="D1" authorId="2" shapeId="0" xr:uid="{2C80B9E4-7A4C-4355-A557-A800B1A388E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USD/MWh</t>
      </text>
    </comment>
    <comment ref="F1" authorId="3" shapeId="0" xr:uid="{D0289C43-A833-42EB-B6DD-035525C890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Rendimiento total de cogeneración (Relativo al CO2): pasar de energía química en el combustible a MWh_e/th (con la fórmula que permite comparar entre generadores CHP y single Power o single Heat).</t>
      </text>
    </comment>
    <comment ref="G1" authorId="4" shapeId="0" xr:uid="{5868225E-6AB4-4960-B0FA-4BF43D4E082F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MWh_e producido con cogeneración</t>
      </text>
    </comment>
    <comment ref="H1" authorId="5" shapeId="0" xr:uid="{056CFB67-E460-445A-AFEB-6CDC8430CD30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MWh_th producido con cogeneración</t>
      </text>
    </comment>
    <comment ref="J1" authorId="6" shapeId="0" xr:uid="{71DADE9C-2171-452B-BABC-21FC760CB8F9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USD/MWh (fuel?? Or electric?</t>
      </text>
    </comment>
    <comment ref="K1" authorId="7" shapeId="0" xr:uid="{A207D967-D633-419B-99F5-A6CB5395A0E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[tCO2/MWh_fuel] Gas PyPSA stoichometric </t>
      </text>
    </comment>
    <comment ref="L1" authorId="8" shapeId="0" xr:uid="{24007486-C9D2-4803-9915-B5465F6BE61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Multiplies de previous column by *1/CHP_efficiency: converts to obtain tCO2/MWh_output </t>
      </text>
    </comment>
    <comment ref="M1" authorId="9" shapeId="0" xr:uid="{584A61F6-491E-403C-902B-F3836B986624}">
      <text>
        <t>[Threaded comment]
Your version of Excel allows you to read this threaded comment; however, any edits to it will get removed if the file is opened in a newer version of Excel. Learn more: https://go.microsoft.com/fwlink/?linkid=870924
Comment:
    MW</t>
      </text>
    </comment>
    <comment ref="Q1" authorId="10" shapeId="0" xr:uid="{446071B6-973B-49CC-AB09-55799D74CE5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USD/tCO2</t>
      </text>
    </comment>
    <comment ref="A6" authorId="11" shapeId="0" xr:uid="{EE4B947D-6F9F-4F19-B505-48EFDEDE0B04}">
      <text>
        <t>[Threaded comment]
Your version of Excel allows you to read this threaded comment; however, any edits to it will get removed if the file is opened in a newer version of Excel. Learn more: https://go.microsoft.com/fwlink/?linkid=870924
Comment:
    PyPSA 04 Gas turbine, simple cycle-back pressure L (in 2015 USD currency)</t>
      </text>
    </comment>
    <comment ref="F6" authorId="12" shapeId="0" xr:uid="{BE7568EE-7B2D-4E95-BD63-155DA3607F75}">
      <text>
        <t>[Threaded comment]
Your version of Excel allows you to read this threaded comment; however, any edits to it will get removed if the file is opened in a newer version of Excel. Learn more: https://go.microsoft.com/fwlink/?linkid=870924
Comment:
    TFG calculations (PyPSA, DEA, EPA)</t>
      </text>
    </comment>
    <comment ref="H6" authorId="13" shapeId="0" xr:uid="{04FA7CEE-1B26-40AA-A602-06EB6E5DDC3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Values range from IPPC: https://archive.ipcc.ch/publications_and_data/ar4/wg3/en/ch4s4-3-5.html</t>
      </text>
    </comment>
    <comment ref="I6" authorId="14" shapeId="0" xr:uid="{E7CAF854-C30D-4E56-8EAC-6E2FD928681F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NREL NG combustion Turbine</t>
      </text>
    </comment>
  </commentList>
</comments>
</file>

<file path=xl/sharedStrings.xml><?xml version="1.0" encoding="utf-8"?>
<sst xmlns="http://schemas.openxmlformats.org/spreadsheetml/2006/main" count="22" uniqueCount="22">
  <si>
    <t>nuclear</t>
  </si>
  <si>
    <t>nuclear_lto</t>
  </si>
  <si>
    <t>CCGT</t>
  </si>
  <si>
    <t>VOM</t>
  </si>
  <si>
    <t>efficiency</t>
  </si>
  <si>
    <t>fuel</t>
  </si>
  <si>
    <t>carbon_intensity</t>
  </si>
  <si>
    <t>rate</t>
  </si>
  <si>
    <t>capacity</t>
  </si>
  <si>
    <t>construction_time</t>
  </si>
  <si>
    <t>investment</t>
  </si>
  <si>
    <t>FOM</t>
  </si>
  <si>
    <t>lifetime</t>
  </si>
  <si>
    <t>load_factor</t>
  </si>
  <si>
    <t>tax</t>
  </si>
  <si>
    <t>carbon_cost</t>
  </si>
  <si>
    <t>technology</t>
  </si>
  <si>
    <t>SMR_CHP</t>
  </si>
  <si>
    <t>Gas_CHP</t>
  </si>
  <si>
    <t>carbon_intensity1</t>
  </si>
  <si>
    <t>efficiency2</t>
  </si>
  <si>
    <t>efficiency1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</si>
</sst>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OS OLMOS ALONSO" id="{C4A57D0B-4E4B-4986-94C7-8988CF687508}" userId="S::carlos.olmos.alonso@alumnos.upm.es::b1989f31-5088-41d6-9a36-5ce09ab23a5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05-21T18:41:38.51" personId="{C4A57D0B-4E4B-4986-94C7-8988CF687508}" id="{1DB93E16-5C30-4FDF-9F73-7207FAFB8D18}">
    <text>USD/KWe</text>
  </threadedComment>
  <threadedComment ref="C1" dT="2025-05-21T19:11:31.13" personId="{C4A57D0B-4E4B-4986-94C7-8988CF687508}" id="{FCDF6289-C652-4F2A-BE00-A98F71E98A8D}">
    <text>USD/kWe-yr</text>
  </threadedComment>
  <threadedComment ref="D1" dT="2025-05-21T19:11:04.15" personId="{C4A57D0B-4E4B-4986-94C7-8988CF687508}" id="{2C80B9E4-7A4C-4355-A557-A800B1A388E2}">
    <text>USD/MWh</text>
  </threadedComment>
  <threadedComment ref="F1" dT="2025-04-07T12:41:32.37" personId="{C4A57D0B-4E4B-4986-94C7-8988CF687508}" id="{D0289C43-A833-42EB-B6DD-035525C890A0}">
    <text>Rendimiento total de cogeneración (Relativo al CO2): pasar de energía química en el combustible a MWh_e/th (con la fórmula que permite comparar entre generadores CHP y single Power o single Heat).</text>
  </threadedComment>
  <threadedComment ref="G1" dT="2025-05-15T07:45:24.13" personId="{C4A57D0B-4E4B-4986-94C7-8988CF687508}" id="{5868225E-6AB4-4960-B0FA-4BF43D4E082F}">
    <text>Fracción que pasa de Energía química en el combustible a MWh_e producido con cogeneración</text>
  </threadedComment>
  <threadedComment ref="H1" dT="2025-05-11T10:34:52.41" personId="{C4A57D0B-4E4B-4986-94C7-8988CF687508}" id="{056CFB67-E460-445A-AFEB-6CDC8430CD30}">
    <text>Fracción que pasa de Energía química en el combustible a MWh_th producido con cogeneración</text>
  </threadedComment>
  <threadedComment ref="J1" dT="2025-05-21T19:12:06.25" personId="{C4A57D0B-4E4B-4986-94C7-8988CF687508}" id="{71DADE9C-2171-452B-BABC-21FC760CB8F9}">
    <text>USD/MWh (fuel?? Or electric?</text>
  </threadedComment>
  <threadedComment ref="K1" dT="2025-05-15T07:48:40.60" personId="{C4A57D0B-4E4B-4986-94C7-8988CF687508}" id="{A207D967-D633-419B-99F5-A6CB5395A0E2}">
    <text xml:space="preserve">[tCO2/MWh_fuel] Gas PyPSA stoichometric </text>
  </threadedComment>
  <threadedComment ref="L1" dT="2025-05-11T10:38:18.81" personId="{C4A57D0B-4E4B-4986-94C7-8988CF687508}" id="{24007486-C9D2-4803-9915-B5465F6BE615}">
    <text xml:space="preserve">Multiplies de previous column by *1/CHP_efficiency: converts to obtain tCO2/MWh_output </text>
  </threadedComment>
  <threadedComment ref="M1" dT="2025-05-21T19:12:19.98" personId="{C4A57D0B-4E4B-4986-94C7-8988CF687508}" id="{584A61F6-491E-403C-902B-F3836B986624}">
    <text>MW</text>
  </threadedComment>
  <threadedComment ref="Q1" dT="2025-05-17T21:24:54.42" personId="{C4A57D0B-4E4B-4986-94C7-8988CF687508}" id="{446071B6-973B-49CC-AB09-55799D74CE52}">
    <text>USD/tCO2</text>
  </threadedComment>
  <threadedComment ref="A6" dT="2025-05-15T16:10:48.49" personId="{C4A57D0B-4E4B-4986-94C7-8988CF687508}" id="{EE4B947D-6F9F-4F19-B505-48EFDEDE0B04}">
    <text>PyPSA 04 Gas turbine, simple cycle-back pressure L (in 2015 USD currency)</text>
  </threadedComment>
  <threadedComment ref="F6" dT="2025-05-17T09:37:28.80" personId="{C4A57D0B-4E4B-4986-94C7-8988CF687508}" id="{BE7568EE-7B2D-4E95-BD63-155DA3607F75}">
    <text>TFG calculations (PyPSA, DEA, EPA)</text>
  </threadedComment>
  <threadedComment ref="H6" dT="2025-05-11T10:49:59.12" personId="{C4A57D0B-4E4B-4986-94C7-8988CF687508}" id="{04FA7CEE-1B26-40AA-A602-06EB6E5DDC3F}">
    <text>Values range from IPPC: https://archive.ipcc.ch/publications_and_data/ar4/wg3/en/ch4s4-3-5.html</text>
    <extLst>
      <x:ext xmlns:xltc2="http://schemas.microsoft.com/office/spreadsheetml/2020/threadedcomments2" uri="{F7C98A9C-CBB3-438F-8F68-D28B6AF4A901}">
        <xltc2:checksum>2963962490</xltc2:checksum>
        <xltc2:hyperlink startIndex="24" length="71" url="https://archive.ipcc.ch/publications_and_data/ar4/wg3/en/ch4s4-3-5.html"/>
      </x:ext>
    </extLst>
  </threadedComment>
  <threadedComment ref="I6" dT="2025-05-15T16:14:58.23" personId="{C4A57D0B-4E4B-4986-94C7-8988CF687508}" id="{E7CAF854-C30D-4E56-8EAC-6E2FD928681F}">
    <text>From NREL NG combustion Turbine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"/>
  <sheetViews>
    <sheetView tabSelected="1" workbookViewId="0">
      <selection activeCell="M6" sqref="M6"/>
    </sheetView>
  </sheetViews>
  <sheetFormatPr defaultRowHeight="14.5" x14ac:dyDescent="0.35"/>
  <cols>
    <col min="1" max="1" width="12.08984375" bestFit="1" customWidth="1"/>
    <col min="2" max="2" width="12" bestFit="1" customWidth="1"/>
    <col min="3" max="3" width="6.36328125" bestFit="1" customWidth="1"/>
    <col min="4" max="4" width="6.08984375" bestFit="1" customWidth="1"/>
    <col min="5" max="5" width="8.453125" bestFit="1" customWidth="1"/>
    <col min="6" max="6" width="10.26953125" bestFit="1" customWidth="1"/>
    <col min="7" max="7" width="11.26953125" customWidth="1"/>
    <col min="8" max="8" width="12.08984375" customWidth="1"/>
    <col min="9" max="9" width="19.08984375" bestFit="1" customWidth="1"/>
    <col min="10" max="10" width="5.36328125" bestFit="1" customWidth="1"/>
    <col min="11" max="11" width="17.6328125" bestFit="1" customWidth="1"/>
    <col min="12" max="12" width="17.6328125" customWidth="1"/>
    <col min="13" max="13" width="9.08984375" bestFit="1" customWidth="1"/>
    <col min="14" max="14" width="12.26953125" bestFit="1" customWidth="1"/>
    <col min="15" max="15" width="8.6328125" customWidth="1"/>
    <col min="16" max="16" width="4.36328125" bestFit="1" customWidth="1"/>
    <col min="17" max="17" width="13.08984375" bestFit="1" customWidth="1"/>
    <col min="18" max="18" width="20" bestFit="1" customWidth="1"/>
    <col min="19" max="19" width="16.453125" bestFit="1" customWidth="1"/>
    <col min="20" max="20" width="24.26953125" bestFit="1" customWidth="1"/>
    <col min="21" max="21" width="9.54296875" bestFit="1" customWidth="1"/>
    <col min="22" max="22" width="10.81640625" bestFit="1" customWidth="1"/>
    <col min="23" max="23" width="20" bestFit="1" customWidth="1"/>
    <col min="25" max="25" width="18.453125" bestFit="1" customWidth="1"/>
    <col min="26" max="26" width="9.453125" bestFit="1" customWidth="1"/>
    <col min="27" max="27" width="12.54296875" bestFit="1" customWidth="1"/>
  </cols>
  <sheetData>
    <row r="1" spans="1:17" ht="17" x14ac:dyDescent="0.35">
      <c r="A1" s="1" t="s">
        <v>16</v>
      </c>
      <c r="B1" s="2" t="s">
        <v>10</v>
      </c>
      <c r="C1" s="2" t="s">
        <v>11</v>
      </c>
      <c r="D1" s="2" t="s">
        <v>3</v>
      </c>
      <c r="E1" s="2" t="s">
        <v>12</v>
      </c>
      <c r="F1" s="2" t="s">
        <v>4</v>
      </c>
      <c r="G1" s="2" t="s">
        <v>21</v>
      </c>
      <c r="H1" s="2" t="s">
        <v>20</v>
      </c>
      <c r="I1" s="2" t="s">
        <v>9</v>
      </c>
      <c r="J1" s="2" t="s">
        <v>5</v>
      </c>
      <c r="K1" s="2" t="s">
        <v>6</v>
      </c>
      <c r="L1" s="2" t="s">
        <v>19</v>
      </c>
      <c r="M1" s="2" t="s">
        <v>8</v>
      </c>
      <c r="N1" s="2" t="s">
        <v>13</v>
      </c>
      <c r="O1" s="2" t="s">
        <v>7</v>
      </c>
      <c r="P1" s="2" t="s">
        <v>14</v>
      </c>
      <c r="Q1" s="2" t="s">
        <v>15</v>
      </c>
    </row>
    <row r="2" spans="1:17" ht="17" hidden="1" x14ac:dyDescent="0.35">
      <c r="A2" s="2" t="s">
        <v>0</v>
      </c>
      <c r="B2" s="3">
        <v>6000</v>
      </c>
      <c r="C2" s="4">
        <v>100</v>
      </c>
      <c r="D2" s="4">
        <v>2</v>
      </c>
      <c r="E2" s="4">
        <v>60</v>
      </c>
      <c r="F2" s="4">
        <v>0</v>
      </c>
      <c r="G2" s="4"/>
      <c r="H2" s="4"/>
      <c r="I2" s="4">
        <v>7</v>
      </c>
      <c r="J2" s="4">
        <v>9.33</v>
      </c>
      <c r="K2" s="4">
        <v>0</v>
      </c>
      <c r="L2" s="4">
        <f>0</f>
        <v>0</v>
      </c>
      <c r="M2" s="4">
        <v>1000</v>
      </c>
      <c r="N2" s="4">
        <v>0.85</v>
      </c>
      <c r="O2" s="4">
        <v>0.05</v>
      </c>
      <c r="P2" s="4">
        <v>0</v>
      </c>
      <c r="Q2" s="4">
        <v>0</v>
      </c>
    </row>
    <row r="3" spans="1:17" ht="17" hidden="1" x14ac:dyDescent="0.35">
      <c r="A3" s="2" t="s">
        <v>1</v>
      </c>
      <c r="B3" s="3">
        <v>750</v>
      </c>
      <c r="C3" s="4">
        <v>100</v>
      </c>
      <c r="D3" s="4">
        <v>4</v>
      </c>
      <c r="E3" s="4">
        <v>10</v>
      </c>
      <c r="F3" s="4">
        <v>0</v>
      </c>
      <c r="G3" s="4"/>
      <c r="H3" s="4"/>
      <c r="I3" s="4">
        <v>2</v>
      </c>
      <c r="J3" s="4">
        <v>9.33</v>
      </c>
      <c r="K3" s="4">
        <v>0</v>
      </c>
      <c r="L3" s="4">
        <f>0</f>
        <v>0</v>
      </c>
      <c r="M3" s="4">
        <v>1000</v>
      </c>
      <c r="N3" s="4">
        <v>0.85</v>
      </c>
      <c r="O3" s="4">
        <v>0.05</v>
      </c>
      <c r="P3" s="4">
        <v>0</v>
      </c>
      <c r="Q3" s="4">
        <v>0</v>
      </c>
    </row>
    <row r="4" spans="1:17" ht="17" hidden="1" x14ac:dyDescent="0.35">
      <c r="A4" s="2" t="s">
        <v>2</v>
      </c>
      <c r="B4" s="4">
        <v>750</v>
      </c>
      <c r="C4" s="4">
        <v>20.167538959821201</v>
      </c>
      <c r="D4" s="4">
        <v>1.827</v>
      </c>
      <c r="E4" s="4">
        <v>30</v>
      </c>
      <c r="F4" s="4">
        <v>0.59</v>
      </c>
      <c r="G4" s="4"/>
      <c r="H4" s="4"/>
      <c r="I4" s="4">
        <v>2</v>
      </c>
      <c r="J4" s="4">
        <f>50</f>
        <v>50</v>
      </c>
      <c r="K4" s="4">
        <v>450</v>
      </c>
      <c r="L4" s="4">
        <f>0</f>
        <v>0</v>
      </c>
      <c r="M4" s="4">
        <v>500</v>
      </c>
      <c r="N4" s="4">
        <v>0.85</v>
      </c>
      <c r="O4" s="4">
        <v>0.05</v>
      </c>
      <c r="P4" s="4">
        <v>0</v>
      </c>
      <c r="Q4" s="4">
        <v>0</v>
      </c>
    </row>
    <row r="5" spans="1:17" ht="17.5" thickBot="1" x14ac:dyDescent="0.4">
      <c r="A5" s="2" t="s">
        <v>17</v>
      </c>
      <c r="B5" s="3">
        <v>9500</v>
      </c>
      <c r="C5" s="4">
        <v>216</v>
      </c>
      <c r="D5" s="4">
        <v>2.8</v>
      </c>
      <c r="E5" s="4">
        <v>60</v>
      </c>
      <c r="F5" s="4">
        <v>0.5</v>
      </c>
      <c r="G5" s="4">
        <v>0.27879999999999999</v>
      </c>
      <c r="H5" s="4">
        <v>0.36</v>
      </c>
      <c r="I5" s="4">
        <v>7</v>
      </c>
      <c r="J5" s="4">
        <f>12</f>
        <v>12</v>
      </c>
      <c r="K5" s="4">
        <v>0</v>
      </c>
      <c r="L5" s="4">
        <f>0</f>
        <v>0</v>
      </c>
      <c r="M5" s="4">
        <v>100</v>
      </c>
      <c r="N5" s="4">
        <v>0.93</v>
      </c>
      <c r="O5" s="4">
        <v>0.08</v>
      </c>
      <c r="P5" s="4">
        <v>0</v>
      </c>
      <c r="Q5" s="4">
        <v>0</v>
      </c>
    </row>
    <row r="6" spans="1:17" ht="17.5" thickBot="1" x14ac:dyDescent="0.4">
      <c r="A6" s="2" t="s">
        <v>18</v>
      </c>
      <c r="B6" s="5">
        <f>583.13</f>
        <v>583.13</v>
      </c>
      <c r="C6" s="5">
        <v>20.63</v>
      </c>
      <c r="D6" s="6">
        <v>5.5</v>
      </c>
      <c r="E6" s="5">
        <v>25</v>
      </c>
      <c r="F6" s="5">
        <v>0.48</v>
      </c>
      <c r="G6" s="5">
        <v>0.35</v>
      </c>
      <c r="H6" s="5">
        <v>0.21</v>
      </c>
      <c r="I6" s="5">
        <f>3</f>
        <v>3</v>
      </c>
      <c r="J6" s="5">
        <f>50</f>
        <v>50</v>
      </c>
      <c r="K6" s="5">
        <f>0.198</f>
        <v>0.19800000000000001</v>
      </c>
      <c r="L6" s="5">
        <f>K6/(F6)</f>
        <v>0.41250000000000003</v>
      </c>
      <c r="M6" s="5">
        <v>100</v>
      </c>
      <c r="N6" s="5">
        <v>0.85</v>
      </c>
      <c r="O6" s="4">
        <v>0.08</v>
      </c>
      <c r="P6" s="5">
        <v>0</v>
      </c>
      <c r="Q6" s="5">
        <v>0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Juiz</dc:creator>
  <cp:lastModifiedBy>CARLOS OLMOS ALONSO</cp:lastModifiedBy>
  <dcterms:created xsi:type="dcterms:W3CDTF">2015-06-05T18:17:20Z</dcterms:created>
  <dcterms:modified xsi:type="dcterms:W3CDTF">2025-06-15T14:47:39Z</dcterms:modified>
</cp:coreProperties>
</file>