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arlo\1_UPM_Z\PYsimul\SMR_model1\"/>
    </mc:Choice>
  </mc:AlternateContent>
  <xr:revisionPtr revIDLastSave="0" documentId="13_ncr:1_{22129071-2FD4-41E0-9290-893ECE36F38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/>
  <c r="I14" i="1"/>
  <c r="B14" i="1"/>
  <c r="E12" i="1"/>
  <c r="H13" i="1"/>
  <c r="C12" i="1"/>
  <c r="G12" i="1"/>
  <c r="K10" i="1"/>
  <c r="H6" i="1"/>
  <c r="N12" i="1"/>
  <c r="M12" i="1"/>
  <c r="L12" i="1"/>
  <c r="K12" i="1"/>
  <c r="J12" i="1"/>
  <c r="I12" i="1"/>
  <c r="H12" i="1"/>
  <c r="F12" i="1"/>
  <c r="D12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tc={D0289C43-A833-42EB-B6DD-035525C890A0}</author>
  </authors>
  <commentList>
    <comment ref="F1" authorId="0" shapeId="0" xr:uid="{D0289C43-A833-42EB-B6DD-035525C890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Relativo al CO2</t>
      </text>
    </comment>
  </commentList>
</comments>
</file>

<file path=xl/sharedStrings.xml><?xml version="1.0" encoding="utf-8"?>
<sst xmlns="http://schemas.openxmlformats.org/spreadsheetml/2006/main" count="27" uniqueCount="27">
  <si>
    <t>nuclear</t>
  </si>
  <si>
    <t>nuclear_lto</t>
  </si>
  <si>
    <t>onwind</t>
  </si>
  <si>
    <t>solar</t>
  </si>
  <si>
    <t>CCGT</t>
  </si>
  <si>
    <t>coal</t>
  </si>
  <si>
    <t>battery</t>
  </si>
  <si>
    <t>hydro</t>
  </si>
  <si>
    <t>ror</t>
  </si>
  <si>
    <t>pumped</t>
  </si>
  <si>
    <t>VOM</t>
  </si>
  <si>
    <t>efficiency</t>
  </si>
  <si>
    <t>fuel</t>
  </si>
  <si>
    <t>carbon_intensity</t>
  </si>
  <si>
    <t>rate</t>
  </si>
  <si>
    <t>capacity</t>
  </si>
  <si>
    <t>construction_time</t>
  </si>
  <si>
    <t>investment</t>
  </si>
  <si>
    <t>FOM</t>
  </si>
  <si>
    <t>lifetime</t>
  </si>
  <si>
    <t>load_factor</t>
  </si>
  <si>
    <t>tax</t>
  </si>
  <si>
    <t>carbon_cost</t>
  </si>
  <si>
    <t>technology</t>
  </si>
  <si>
    <t>offwind</t>
  </si>
  <si>
    <t>SMR_CHP</t>
  </si>
  <si>
    <t>Gas_CHP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</si>
</sst>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OLMOS ALONSO" id="{C4A57D0B-4E4B-4986-94C7-8988CF687508}" userId="S::carlos.olmos.alonso@alumnos.upm.es::b1989f31-5088-41d6-9a36-5ce09ab23a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4-07T12:41:32.37" personId="{C4A57D0B-4E4B-4986-94C7-8988CF687508}" id="{D0289C43-A833-42EB-B6DD-035525C890A0}">
    <text>Relativo al CO2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2" workbookViewId="0">
      <selection activeCell="J4" sqref="J4"/>
    </sheetView>
  </sheetViews>
  <sheetFormatPr defaultRowHeight="14.5" x14ac:dyDescent="0.35"/>
  <cols>
    <col min="1" max="1" width="12.08984375" bestFit="1" customWidth="1"/>
    <col min="2" max="2" width="12" bestFit="1" customWidth="1"/>
    <col min="3" max="3" width="6.36328125" bestFit="1" customWidth="1"/>
    <col min="4" max="4" width="6.08984375" bestFit="1" customWidth="1"/>
    <col min="5" max="5" width="8.453125" bestFit="1" customWidth="1"/>
    <col min="6" max="6" width="10.26953125" bestFit="1" customWidth="1"/>
    <col min="7" max="7" width="19.08984375" bestFit="1" customWidth="1"/>
    <col min="8" max="8" width="5.36328125" bestFit="1" customWidth="1"/>
    <col min="9" max="9" width="17.6328125" bestFit="1" customWidth="1"/>
    <col min="10" max="10" width="9.08984375" bestFit="1" customWidth="1"/>
    <col min="11" max="11" width="12.26953125" bestFit="1" customWidth="1"/>
    <col min="12" max="12" width="8.6328125" customWidth="1"/>
    <col min="13" max="13" width="4.36328125" bestFit="1" customWidth="1"/>
    <col min="14" max="14" width="13.08984375" bestFit="1" customWidth="1"/>
    <col min="15" max="15" width="20" bestFit="1" customWidth="1"/>
    <col min="16" max="16" width="16.453125" bestFit="1" customWidth="1"/>
    <col min="17" max="17" width="24.26953125" bestFit="1" customWidth="1"/>
    <col min="18" max="18" width="9.54296875" bestFit="1" customWidth="1"/>
    <col min="19" max="19" width="10.81640625" bestFit="1" customWidth="1"/>
    <col min="20" max="20" width="20" bestFit="1" customWidth="1"/>
    <col min="22" max="22" width="18.453125" bestFit="1" customWidth="1"/>
    <col min="23" max="23" width="9.453125" bestFit="1" customWidth="1"/>
    <col min="24" max="24" width="12.54296875" bestFit="1" customWidth="1"/>
  </cols>
  <sheetData>
    <row r="1" spans="1:14" ht="17" x14ac:dyDescent="0.35">
      <c r="A1" s="1" t="s">
        <v>23</v>
      </c>
      <c r="B1" s="2" t="s">
        <v>17</v>
      </c>
      <c r="C1" s="2" t="s">
        <v>18</v>
      </c>
      <c r="D1" s="2" t="s">
        <v>10</v>
      </c>
      <c r="E1" s="2" t="s">
        <v>19</v>
      </c>
      <c r="F1" s="2" t="s">
        <v>11</v>
      </c>
      <c r="G1" s="2" t="s">
        <v>16</v>
      </c>
      <c r="H1" s="2" t="s">
        <v>12</v>
      </c>
      <c r="I1" s="2" t="s">
        <v>13</v>
      </c>
      <c r="J1" s="2" t="s">
        <v>15</v>
      </c>
      <c r="K1" s="2" t="s">
        <v>20</v>
      </c>
      <c r="L1" s="2" t="s">
        <v>14</v>
      </c>
      <c r="M1" s="2" t="s">
        <v>21</v>
      </c>
      <c r="N1" s="2" t="s">
        <v>22</v>
      </c>
    </row>
    <row r="2" spans="1:14" ht="17" x14ac:dyDescent="0.35">
      <c r="A2" s="2" t="s">
        <v>0</v>
      </c>
      <c r="B2" s="3">
        <v>6000</v>
      </c>
      <c r="C2" s="4">
        <v>100</v>
      </c>
      <c r="D2" s="4">
        <v>2</v>
      </c>
      <c r="E2" s="4">
        <v>60</v>
      </c>
      <c r="F2" s="4">
        <v>0</v>
      </c>
      <c r="G2" s="4">
        <v>7</v>
      </c>
      <c r="H2" s="4">
        <v>9.33</v>
      </c>
      <c r="I2" s="4">
        <v>0</v>
      </c>
      <c r="J2" s="4">
        <v>1000</v>
      </c>
      <c r="K2" s="4">
        <v>0.85</v>
      </c>
      <c r="L2" s="4">
        <v>0.05</v>
      </c>
      <c r="M2" s="4">
        <v>0</v>
      </c>
      <c r="N2" s="4">
        <v>0</v>
      </c>
    </row>
    <row r="3" spans="1:14" ht="17" x14ac:dyDescent="0.35">
      <c r="A3" s="2" t="s">
        <v>1</v>
      </c>
      <c r="B3" s="3">
        <v>750</v>
      </c>
      <c r="C3" s="4">
        <v>100</v>
      </c>
      <c r="D3" s="4">
        <v>4</v>
      </c>
      <c r="E3" s="4">
        <v>10</v>
      </c>
      <c r="F3" s="4">
        <v>0</v>
      </c>
      <c r="G3" s="4">
        <v>2</v>
      </c>
      <c r="H3" s="4">
        <v>9.33</v>
      </c>
      <c r="I3" s="4">
        <v>0</v>
      </c>
      <c r="J3" s="4">
        <v>1000</v>
      </c>
      <c r="K3" s="4">
        <v>0.85</v>
      </c>
      <c r="L3" s="4">
        <v>0.05</v>
      </c>
      <c r="M3" s="4">
        <v>0</v>
      </c>
      <c r="N3" s="4">
        <v>0</v>
      </c>
    </row>
    <row r="4" spans="1:14" ht="17" x14ac:dyDescent="0.35">
      <c r="A4" s="2" t="s">
        <v>2</v>
      </c>
      <c r="B4" s="4">
        <v>1160</v>
      </c>
      <c r="C4" s="4">
        <v>25</v>
      </c>
      <c r="D4" s="4">
        <v>0</v>
      </c>
      <c r="E4" s="5">
        <v>30</v>
      </c>
      <c r="F4" s="4">
        <v>0</v>
      </c>
      <c r="G4" s="4">
        <v>1</v>
      </c>
      <c r="H4" s="4">
        <v>0</v>
      </c>
      <c r="I4" s="4">
        <v>0</v>
      </c>
      <c r="J4" s="4">
        <v>50</v>
      </c>
      <c r="K4" s="4">
        <v>0.3</v>
      </c>
      <c r="L4" s="4">
        <v>0.05</v>
      </c>
      <c r="M4" s="4">
        <v>0</v>
      </c>
      <c r="N4" s="4">
        <v>0</v>
      </c>
    </row>
    <row r="5" spans="1:14" ht="17" x14ac:dyDescent="0.35">
      <c r="A5" s="2" t="s">
        <v>3</v>
      </c>
      <c r="B5" s="4">
        <v>671</v>
      </c>
      <c r="C5" s="4">
        <v>18.2</v>
      </c>
      <c r="D5" s="4">
        <v>0</v>
      </c>
      <c r="E5" s="4">
        <v>25</v>
      </c>
      <c r="F5" s="4">
        <v>0</v>
      </c>
      <c r="G5" s="4">
        <v>1</v>
      </c>
      <c r="H5" s="4">
        <v>0</v>
      </c>
      <c r="I5" s="4">
        <v>0</v>
      </c>
      <c r="J5" s="4">
        <v>50</v>
      </c>
      <c r="K5" s="4">
        <v>0.2</v>
      </c>
      <c r="L5" s="4">
        <v>0.05</v>
      </c>
      <c r="M5" s="4">
        <v>0</v>
      </c>
      <c r="N5" s="4">
        <v>0</v>
      </c>
    </row>
    <row r="6" spans="1:14" ht="17" x14ac:dyDescent="0.35">
      <c r="A6" s="2" t="s">
        <v>4</v>
      </c>
      <c r="B6" s="4">
        <v>750</v>
      </c>
      <c r="C6" s="4">
        <v>20.167538959821201</v>
      </c>
      <c r="D6" s="4">
        <v>1.827</v>
      </c>
      <c r="E6" s="4">
        <v>30</v>
      </c>
      <c r="F6" s="4">
        <v>0.59</v>
      </c>
      <c r="G6" s="4">
        <v>2</v>
      </c>
      <c r="H6" s="4">
        <f>50</f>
        <v>50</v>
      </c>
      <c r="I6" s="4">
        <v>450</v>
      </c>
      <c r="J6" s="4">
        <v>500</v>
      </c>
      <c r="K6" s="4">
        <v>0.85</v>
      </c>
      <c r="L6" s="4">
        <v>0.05</v>
      </c>
      <c r="M6" s="4">
        <v>0</v>
      </c>
      <c r="N6" s="4">
        <v>0</v>
      </c>
    </row>
    <row r="7" spans="1:14" ht="17" x14ac:dyDescent="0.35">
      <c r="A7" s="2" t="s">
        <v>5</v>
      </c>
      <c r="B7" s="4">
        <v>1376</v>
      </c>
      <c r="C7" s="4">
        <v>20.652999999999999</v>
      </c>
      <c r="D7" s="4">
        <v>5.25</v>
      </c>
      <c r="E7" s="4">
        <v>40</v>
      </c>
      <c r="F7" s="4">
        <v>0.45</v>
      </c>
      <c r="G7" s="4">
        <v>4</v>
      </c>
      <c r="H7" s="4">
        <v>30</v>
      </c>
      <c r="I7" s="4">
        <v>850</v>
      </c>
      <c r="J7" s="4">
        <v>500</v>
      </c>
      <c r="K7" s="4">
        <v>0.85</v>
      </c>
      <c r="L7" s="4">
        <v>0.05</v>
      </c>
      <c r="M7" s="4">
        <v>0</v>
      </c>
      <c r="N7" s="4">
        <v>0</v>
      </c>
    </row>
    <row r="8" spans="1:14" ht="17" x14ac:dyDescent="0.35">
      <c r="A8" s="2" t="s">
        <v>6</v>
      </c>
      <c r="B8" s="4">
        <v>862</v>
      </c>
      <c r="C8" s="4">
        <v>36</v>
      </c>
      <c r="D8" s="4">
        <v>0</v>
      </c>
      <c r="E8" s="4">
        <v>15</v>
      </c>
      <c r="F8" s="4">
        <v>0</v>
      </c>
      <c r="G8" s="4">
        <v>1</v>
      </c>
      <c r="H8" s="4">
        <v>0</v>
      </c>
      <c r="I8" s="4">
        <v>0</v>
      </c>
      <c r="J8" s="4">
        <v>100</v>
      </c>
      <c r="K8" s="4">
        <v>0.5</v>
      </c>
      <c r="L8" s="4">
        <v>0.05</v>
      </c>
      <c r="M8" s="4">
        <v>0</v>
      </c>
      <c r="N8" s="4">
        <v>0</v>
      </c>
    </row>
    <row r="9" spans="1:14" ht="17" x14ac:dyDescent="0.35">
      <c r="A9" s="2" t="s">
        <v>7</v>
      </c>
      <c r="B9" s="4">
        <v>2806</v>
      </c>
      <c r="C9" s="4">
        <v>40</v>
      </c>
      <c r="D9" s="4">
        <v>0</v>
      </c>
      <c r="E9" s="5">
        <v>60</v>
      </c>
      <c r="F9" s="4">
        <v>0</v>
      </c>
      <c r="G9" s="4">
        <v>6</v>
      </c>
      <c r="H9" s="4">
        <v>0</v>
      </c>
      <c r="I9" s="4">
        <v>0</v>
      </c>
      <c r="J9" s="4">
        <v>500</v>
      </c>
      <c r="K9" s="4">
        <v>0.2</v>
      </c>
      <c r="L9" s="4">
        <v>0.05</v>
      </c>
      <c r="M9" s="4">
        <v>0</v>
      </c>
      <c r="N9" s="4">
        <v>0</v>
      </c>
    </row>
    <row r="10" spans="1:14" ht="17" x14ac:dyDescent="0.35">
      <c r="A10" s="2" t="s">
        <v>8</v>
      </c>
      <c r="B10" s="4">
        <v>2318</v>
      </c>
      <c r="C10" s="4">
        <v>50</v>
      </c>
      <c r="D10" s="4">
        <v>0</v>
      </c>
      <c r="E10" s="4">
        <v>60</v>
      </c>
      <c r="F10" s="4">
        <v>0</v>
      </c>
      <c r="G10" s="4">
        <v>6</v>
      </c>
      <c r="H10" s="4">
        <v>0</v>
      </c>
      <c r="I10" s="4">
        <v>0</v>
      </c>
      <c r="J10" s="4">
        <v>5</v>
      </c>
      <c r="K10" s="4">
        <f>0.6</f>
        <v>0.6</v>
      </c>
      <c r="L10" s="4">
        <v>0.05</v>
      </c>
      <c r="M10" s="4">
        <v>0</v>
      </c>
      <c r="N10" s="4">
        <v>0</v>
      </c>
    </row>
    <row r="11" spans="1:14" ht="17" x14ac:dyDescent="0.35">
      <c r="A11" s="2" t="s">
        <v>9</v>
      </c>
      <c r="B11" s="4">
        <v>2500</v>
      </c>
      <c r="C11" s="4">
        <v>20</v>
      </c>
      <c r="D11" s="4">
        <v>0</v>
      </c>
      <c r="E11" s="4">
        <v>60</v>
      </c>
      <c r="F11" s="4">
        <v>0</v>
      </c>
      <c r="G11" s="4">
        <v>6</v>
      </c>
      <c r="H11" s="4">
        <v>0</v>
      </c>
      <c r="I11" s="4">
        <v>0</v>
      </c>
      <c r="J11" s="4">
        <v>50</v>
      </c>
      <c r="K11" s="4">
        <v>0.2</v>
      </c>
      <c r="L11" s="4">
        <v>0.05</v>
      </c>
      <c r="M11" s="4">
        <v>0</v>
      </c>
      <c r="N11" s="4">
        <v>0</v>
      </c>
    </row>
    <row r="12" spans="1:14" ht="17" x14ac:dyDescent="0.35">
      <c r="A12" s="2" t="s">
        <v>24</v>
      </c>
      <c r="B12" s="4">
        <f>3000</f>
        <v>3000</v>
      </c>
      <c r="C12" s="4">
        <f>60</f>
        <v>60</v>
      </c>
      <c r="D12" s="4">
        <f>0</f>
        <v>0</v>
      </c>
      <c r="E12" s="4">
        <f>20</f>
        <v>20</v>
      </c>
      <c r="F12" s="4">
        <f>0</f>
        <v>0</v>
      </c>
      <c r="G12" s="4">
        <f>1</f>
        <v>1</v>
      </c>
      <c r="H12" s="4">
        <f>0</f>
        <v>0</v>
      </c>
      <c r="I12" s="4">
        <f>0</f>
        <v>0</v>
      </c>
      <c r="J12" s="4">
        <f>50</f>
        <v>50</v>
      </c>
      <c r="K12" s="4">
        <f>0.4</f>
        <v>0.4</v>
      </c>
      <c r="L12" s="4">
        <f>0.05</f>
        <v>0.05</v>
      </c>
      <c r="M12" s="4">
        <f>0</f>
        <v>0</v>
      </c>
      <c r="N12" s="4">
        <f>0</f>
        <v>0</v>
      </c>
    </row>
    <row r="13" spans="1:14" ht="17.5" thickBot="1" x14ac:dyDescent="0.4">
      <c r="A13" s="2" t="s">
        <v>25</v>
      </c>
      <c r="B13" s="3">
        <v>9500</v>
      </c>
      <c r="C13" s="4">
        <v>216</v>
      </c>
      <c r="D13" s="4">
        <v>2.8</v>
      </c>
      <c r="E13" s="4">
        <v>60</v>
      </c>
      <c r="F13" s="4">
        <v>0</v>
      </c>
      <c r="G13" s="4">
        <v>7</v>
      </c>
      <c r="H13" s="4">
        <f>12</f>
        <v>12</v>
      </c>
      <c r="I13" s="4">
        <v>0</v>
      </c>
      <c r="J13" s="4">
        <v>300</v>
      </c>
      <c r="K13" s="4">
        <v>0.93</v>
      </c>
      <c r="L13" s="4">
        <v>0.08</v>
      </c>
      <c r="M13" s="4">
        <v>0</v>
      </c>
      <c r="N13" s="4">
        <v>0</v>
      </c>
    </row>
    <row r="14" spans="1:14" ht="17.5" thickBot="1" x14ac:dyDescent="0.4">
      <c r="A14" s="2" t="s">
        <v>26</v>
      </c>
      <c r="B14" s="6">
        <f>583.13</f>
        <v>583.13</v>
      </c>
      <c r="C14" s="6">
        <v>20.63</v>
      </c>
      <c r="D14" s="7">
        <v>5.5</v>
      </c>
      <c r="E14" s="6">
        <v>25</v>
      </c>
      <c r="F14" s="6">
        <v>0.41499999999999998</v>
      </c>
      <c r="G14" s="6">
        <f>2</f>
        <v>2</v>
      </c>
      <c r="H14" s="6">
        <f>50</f>
        <v>50</v>
      </c>
      <c r="I14" s="6">
        <f>450</f>
        <v>450</v>
      </c>
      <c r="J14" s="6">
        <v>100</v>
      </c>
      <c r="K14" s="6">
        <v>0.85</v>
      </c>
      <c r="L14" s="6">
        <v>0.05</v>
      </c>
      <c r="M14" s="6">
        <v>0</v>
      </c>
      <c r="N14" s="6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Juiz</dc:creator>
  <cp:lastModifiedBy>CARLOS OLMOS ALONSO</cp:lastModifiedBy>
  <dcterms:created xsi:type="dcterms:W3CDTF">2015-06-05T18:17:20Z</dcterms:created>
  <dcterms:modified xsi:type="dcterms:W3CDTF">2025-04-30T16:42:23Z</dcterms:modified>
</cp:coreProperties>
</file>