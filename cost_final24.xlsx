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04C2E959-D291-4B17-ABCD-BE2FF63D137A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K6" i="1"/>
  <c r="L6" i="1" l="1"/>
  <c r="I6" i="1" l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tc={AA0DC341-BA22-4348-A936-EE63FE69F7AC}</author>
    <author>tc={26DF2D7D-BF63-41C1-9482-7EAA57DA55BE}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F5" authorId="11" shapeId="0" xr:uid="{AA0DC341-BA22-4348-A936-EE63FE69F7AC}">
      <text>
        <t>[Threaded comment]
Your version of Excel allows you to read this threaded comment; however, any edits to it will get removed if the file is opened in a newer version of Excel. Learn more: https://go.microsoft.com/fwlink/?linkid=870924
Comment:
    FUE (fuel utilization Energy)</t>
      </text>
    </comment>
    <comment ref="I5" authorId="12" shapeId="0" xr:uid="{26DF2D7D-BF63-41C1-9482-7EAA57DA55BE}">
      <text>
        <t>[Threaded comment]
Your version of Excel allows you to read this threaded comment; however, any edits to it will get removed if the file is opened in a newer version of Excel. Learn more: https://go.microsoft.com/fwlink/?linkid=870924
Comment:
    En NERL no especifica: dice it varies??</t>
      </text>
    </comment>
    <comment ref="A6" authorId="13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4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5" shapeId="0" xr:uid="{04FA7CEE-1B26-40AA-A602-06EB6E5DDC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
Reply:
    calculo del ciclo termodinámico con temperatura útil de 400ºC 
</t>
      </text>
    </comment>
    <comment ref="I6" authorId="16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<sst xmlns="http://schemas.openxmlformats.org/spreadsheetml/2006/main" count="22" uniqueCount="22">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</sst>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E0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2" fontId="3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F5" dT="2025-06-14T15:28:23.37" personId="{C4A57D0B-4E4B-4986-94C7-8988CF687508}" id="{AA0DC341-BA22-4348-A936-EE63FE69F7AC}">
    <text>FUE (fuel utilization Energy)</text>
  </threadedComment>
  <threadedComment ref="I5" dT="2025-06-13T18:19:25.77" personId="{C4A57D0B-4E4B-4986-94C7-8988CF687508}" id="{26DF2D7D-BF63-41C1-9482-7EAA57DA55BE}">
    <text>En NERL no especifica: dice it varies??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H6" dT="2025-06-13T18:07:59.00" personId="{C4A57D0B-4E4B-4986-94C7-8988CF687508}" id="{B1947E41-DC3B-4F33-BA0E-A243393866D2}" parentId="{04FA7CEE-1B26-40AA-A602-06EB6E5DDC3F}">
    <text xml:space="preserve">calculo del ciclo termodinámico con temperatura útil de 400ºC 
</tex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zoomScale="85" zoomScaleNormal="85" workbookViewId="0">
      <selection activeCell="H8" sqref="H8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816406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453125" bestFit="1" customWidth="1"/>
    <col min="8" max="8" width="12.08984375" customWidth="1"/>
    <col min="9" max="9" width="19.08984375" bestFit="1" customWidth="1"/>
    <col min="10" max="10" width="5.72656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72656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hidden="1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hidden="1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hidden="1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f>0.5868</f>
        <v>0.58679999999999999</v>
      </c>
      <c r="G5" s="4">
        <v>0.27879999999999999</v>
      </c>
      <c r="H5" s="4">
        <v>0.21</v>
      </c>
      <c r="I5" s="9">
        <v>7</v>
      </c>
      <c r="J5" s="4">
        <f>12</f>
        <v>12</v>
      </c>
      <c r="K5" s="4">
        <v>0</v>
      </c>
      <c r="L5" s="4">
        <f>0</f>
        <v>0</v>
      </c>
      <c r="M5" s="4">
        <v>100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10">
        <v>0.47610000000000002</v>
      </c>
      <c r="G6" s="5">
        <v>0.30769999999999997</v>
      </c>
      <c r="H6" s="8">
        <v>0.21</v>
      </c>
      <c r="I6" s="5">
        <f>3</f>
        <v>3</v>
      </c>
      <c r="J6" s="5">
        <f>50</f>
        <v>50</v>
      </c>
      <c r="K6" s="5">
        <f>0.198</f>
        <v>0.19800000000000001</v>
      </c>
      <c r="L6" s="7">
        <f>K6/(F6)</f>
        <v>0.41587901701323249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2025-06-16T19:15:04Z</dcterms:modified>
</cp:coreProperties>
</file>